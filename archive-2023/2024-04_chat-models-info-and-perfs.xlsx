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f0b5afced95ca/Bureau/"/>
    </mc:Choice>
  </mc:AlternateContent>
  <xr:revisionPtr revIDLastSave="0" documentId="10_ncr:40000_{0BC5CDDC-2D0D-40A7-88CB-45453D74CE42}" xr6:coauthVersionLast="47" xr6:coauthVersionMax="47" xr10:uidLastSave="{00000000-0000-0000-0000-000000000000}"/>
  <bookViews>
    <workbookView xWindow="15264" yWindow="0" windowWidth="15552" windowHeight="18576"/>
  </bookViews>
  <sheets>
    <sheet name="Feuil1" sheetId="1" r:id="rId1"/>
  </sheets>
  <definedNames>
    <definedName name="_xlnm._FilterDatabase" localSheetId="0" hidden="1">Feuil1!$B$1:$B$64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<sst xmlns="http://schemas.openxmlformats.org/spreadsheetml/2006/main" count="130" uniqueCount="64">
  <si>
    <t>gpt-3.5-turbo-0613</t>
  </si>
  <si>
    <t>gpt-3.5-turbo-1106</t>
  </si>
  <si>
    <t>gpt-3.5-turbo-0125</t>
  </si>
  <si>
    <t>GPT-3.5-Turbo-0314</t>
  </si>
  <si>
    <t>GPT-4-1106-preview</t>
  </si>
  <si>
    <t>OpenAI</t>
  </si>
  <si>
    <t>GPT-4-0125-preview</t>
  </si>
  <si>
    <t>Claude 3 Opus</t>
  </si>
  <si>
    <t>Anthropic</t>
  </si>
  <si>
    <t>Claude 3 Sonnet</t>
  </si>
  <si>
    <t>GPT-4-0314</t>
  </si>
  <si>
    <t>Mistral-Large-2402</t>
  </si>
  <si>
    <t>Mistral</t>
  </si>
  <si>
    <t>Command R+</t>
  </si>
  <si>
    <t>Cohere</t>
  </si>
  <si>
    <t>Claude 3 Haiku</t>
  </si>
  <si>
    <t>Claude-2.1</t>
  </si>
  <si>
    <t>Mistral Medium</t>
  </si>
  <si>
    <t>GPT-4-0613</t>
  </si>
  <si>
    <t>Mixtral-8x7b-Instruct-v0.1</t>
  </si>
  <si>
    <t>Qwen1.5-72B-Chat</t>
  </si>
  <si>
    <t>Alibaba</t>
  </si>
  <si>
    <t>Google</t>
  </si>
  <si>
    <t>Llama-2-70b-chat</t>
  </si>
  <si>
    <t>Meta</t>
  </si>
  <si>
    <t>GPT-4-Turbo-2024-04-09</t>
  </si>
  <si>
    <t>Bard (Gemini Pro)</t>
  </si>
  <si>
    <t>Llama-3-70b-Instruct</t>
  </si>
  <si>
    <t>Claude-1</t>
  </si>
  <si>
    <t>Command R</t>
  </si>
  <si>
    <t>Mixtral-8x22b-Instruct-v0.1</t>
  </si>
  <si>
    <t>Llama-3-8b-Instruct</t>
  </si>
  <si>
    <t>Qwen1.5-32B-Chat</t>
  </si>
  <si>
    <t>Claude-2.0</t>
  </si>
  <si>
    <t>Qwen1.5-14B-Chat</t>
  </si>
  <si>
    <t>Gemini Pro</t>
  </si>
  <si>
    <t>Claude-Instant-1</t>
  </si>
  <si>
    <t>Yi-34B-Chat</t>
  </si>
  <si>
    <t>01 AI</t>
  </si>
  <si>
    <t>Tulu-2-DPO-70B</t>
  </si>
  <si>
    <t>AllenAI/UW</t>
  </si>
  <si>
    <t>DBRX-Instruct-Preview</t>
  </si>
  <si>
    <t>Databricks</t>
  </si>
  <si>
    <t>OpenChat-3.5-0106</t>
  </si>
  <si>
    <t>OpenChat</t>
  </si>
  <si>
    <t>Gemma-1.1-7B-it</t>
  </si>
  <si>
    <t>Nous-Hermes-2-Mixtral-8x7B-DPO</t>
  </si>
  <si>
    <t>DeepSeek-LLM-67B-Chat</t>
  </si>
  <si>
    <t>DeepSeek AI</t>
  </si>
  <si>
    <t>OpenChat-3.5</t>
  </si>
  <si>
    <t>Mistral-7B-Instruct-v0.2</t>
  </si>
  <si>
    <t>Qwen1.5-7B-Chat</t>
  </si>
  <si>
    <t>Closed</t>
  </si>
  <si>
    <t>Non commercial</t>
  </si>
  <si>
    <t>Open source</t>
  </si>
  <si>
    <t>Llama-2-13b-chat</t>
  </si>
  <si>
    <t>Llama-2-7b-chat</t>
  </si>
  <si>
    <t>Open weights</t>
  </si>
  <si>
    <t>Company</t>
  </si>
  <si>
    <t>Licence</t>
  </si>
  <si>
    <t>Model name</t>
  </si>
  <si>
    <t>Date</t>
  </si>
  <si>
    <t>Overall ELO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</si>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</sst>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409]d\-mmm\-yyyy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Var(--font-mono)"/>
    </font>
    <font>
      <b/>
      <sz val="10"/>
      <color rgb="FF008000"/>
      <name val="Var(--font-mono)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168" fontId="0" fillId="0" borderId="0" xfId="0" applyNumberFormat="1"/>
    <xf numFmtId="0" fontId="1" fillId="0" borderId="0" xfId="0" applyFont="1" applyFill="1"/>
    <xf numFmtId="168" fontId="1" fillId="0" borderId="0" xfId="0" applyNumberFormat="1" applyFont="1" applyFill="1"/>
    <xf numFmtId="0" fontId="0" fillId="0" borderId="0" xfId="0" applyFill="1"/>
    <xf numFmtId="168" fontId="0" fillId="0" borderId="0" xfId="0" applyNumberFormat="1" applyFill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4" fillId="0" borderId="0" xfId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381620034649825E-2"/>
          <c:y val="1.4800645877228159E-2"/>
          <c:w val="0.88663946033425667"/>
          <c:h val="0.83775729529362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Overall ELO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Feuil1!$D$2:$D$64</c:f>
              <c:numCache>
                <c:formatCode>[$-409]d\-mmm\-yyyy;@</c:formatCode>
                <c:ptCount val="63"/>
                <c:pt idx="0">
                  <c:v>45316</c:v>
                </c:pt>
                <c:pt idx="1">
                  <c:v>45236</c:v>
                </c:pt>
                <c:pt idx="2">
                  <c:v>45090</c:v>
                </c:pt>
                <c:pt idx="3">
                  <c:v>44999</c:v>
                </c:pt>
                <c:pt idx="5">
                  <c:v>45391</c:v>
                </c:pt>
                <c:pt idx="6">
                  <c:v>45316</c:v>
                </c:pt>
                <c:pt idx="7">
                  <c:v>45236</c:v>
                </c:pt>
                <c:pt idx="8">
                  <c:v>45090</c:v>
                </c:pt>
                <c:pt idx="9">
                  <c:v>44999</c:v>
                </c:pt>
                <c:pt idx="11">
                  <c:v>45337</c:v>
                </c:pt>
                <c:pt idx="12">
                  <c:v>45266</c:v>
                </c:pt>
                <c:pt idx="13">
                  <c:v>45334</c:v>
                </c:pt>
                <c:pt idx="15">
                  <c:v>45355</c:v>
                </c:pt>
                <c:pt idx="16">
                  <c:v>45355</c:v>
                </c:pt>
                <c:pt idx="17">
                  <c:v>45355</c:v>
                </c:pt>
                <c:pt idx="18">
                  <c:v>45251</c:v>
                </c:pt>
                <c:pt idx="19">
                  <c:v>45118</c:v>
                </c:pt>
                <c:pt idx="20">
                  <c:v>44999</c:v>
                </c:pt>
                <c:pt idx="21">
                  <c:v>44999</c:v>
                </c:pt>
                <c:pt idx="23">
                  <c:v>45386</c:v>
                </c:pt>
                <c:pt idx="24">
                  <c:v>45362</c:v>
                </c:pt>
                <c:pt idx="26">
                  <c:v>45399</c:v>
                </c:pt>
                <c:pt idx="27">
                  <c:v>45399</c:v>
                </c:pt>
                <c:pt idx="28">
                  <c:v>45125</c:v>
                </c:pt>
                <c:pt idx="29">
                  <c:v>45125</c:v>
                </c:pt>
                <c:pt idx="30">
                  <c:v>45125</c:v>
                </c:pt>
                <c:pt idx="32">
                  <c:v>45393</c:v>
                </c:pt>
                <c:pt idx="33">
                  <c:v>45348</c:v>
                </c:pt>
                <c:pt idx="34">
                  <c:v>45271</c:v>
                </c:pt>
                <c:pt idx="35">
                  <c:v>45271</c:v>
                </c:pt>
                <c:pt idx="36">
                  <c:v>45196</c:v>
                </c:pt>
                <c:pt idx="38">
                  <c:v>45383</c:v>
                </c:pt>
                <c:pt idx="39">
                  <c:v>45321</c:v>
                </c:pt>
                <c:pt idx="40">
                  <c:v>45321</c:v>
                </c:pt>
                <c:pt idx="41">
                  <c:v>45193</c:v>
                </c:pt>
                <c:pt idx="43">
                  <c:v>45298</c:v>
                </c:pt>
                <c:pt idx="44">
                  <c:v>45229</c:v>
                </c:pt>
                <c:pt idx="46">
                  <c:v>45378</c:v>
                </c:pt>
                <c:pt idx="47">
                  <c:v>45259</c:v>
                </c:pt>
                <c:pt idx="48">
                  <c:v>45252</c:v>
                </c:pt>
                <c:pt idx="49">
                  <c:v>45242</c:v>
                </c:pt>
              </c:numCache>
            </c:numRef>
          </c:xVal>
          <c:yVal>
            <c:numRef>
              <c:f>Feuil1!$E$2:$E$64</c:f>
              <c:numCache>
                <c:formatCode>General</c:formatCode>
                <c:ptCount val="63"/>
                <c:pt idx="0">
                  <c:v>1105</c:v>
                </c:pt>
                <c:pt idx="1">
                  <c:v>1072</c:v>
                </c:pt>
                <c:pt idx="2">
                  <c:v>1119</c:v>
                </c:pt>
                <c:pt idx="3">
                  <c:v>1107</c:v>
                </c:pt>
                <c:pt idx="5">
                  <c:v>1259</c:v>
                </c:pt>
                <c:pt idx="6">
                  <c:v>1249</c:v>
                </c:pt>
                <c:pt idx="7">
                  <c:v>1254</c:v>
                </c:pt>
                <c:pt idx="8">
                  <c:v>1165</c:v>
                </c:pt>
                <c:pt idx="9">
                  <c:v>1189</c:v>
                </c:pt>
                <c:pt idx="11">
                  <c:v>1208</c:v>
                </c:pt>
                <c:pt idx="12">
                  <c:v>1114</c:v>
                </c:pt>
                <c:pt idx="13">
                  <c:v>1088</c:v>
                </c:pt>
                <c:pt idx="15">
                  <c:v>1252</c:v>
                </c:pt>
                <c:pt idx="16">
                  <c:v>1202</c:v>
                </c:pt>
                <c:pt idx="17">
                  <c:v>1181</c:v>
                </c:pt>
                <c:pt idx="18">
                  <c:v>1119</c:v>
                </c:pt>
                <c:pt idx="19">
                  <c:v>1131</c:v>
                </c:pt>
                <c:pt idx="20">
                  <c:v>1109</c:v>
                </c:pt>
                <c:pt idx="21">
                  <c:v>1150</c:v>
                </c:pt>
                <c:pt idx="23">
                  <c:v>1192</c:v>
                </c:pt>
                <c:pt idx="24">
                  <c:v>1148</c:v>
                </c:pt>
                <c:pt idx="26">
                  <c:v>1210</c:v>
                </c:pt>
                <c:pt idx="27">
                  <c:v>1137</c:v>
                </c:pt>
                <c:pt idx="28">
                  <c:v>1088</c:v>
                </c:pt>
                <c:pt idx="29">
                  <c:v>1053</c:v>
                </c:pt>
                <c:pt idx="30">
                  <c:v>1037</c:v>
                </c:pt>
                <c:pt idx="32">
                  <c:v>1145</c:v>
                </c:pt>
                <c:pt idx="33">
                  <c:v>1158</c:v>
                </c:pt>
                <c:pt idx="34">
                  <c:v>1147</c:v>
                </c:pt>
                <c:pt idx="35">
                  <c:v>1114</c:v>
                </c:pt>
                <c:pt idx="36">
                  <c:v>1073</c:v>
                </c:pt>
                <c:pt idx="38">
                  <c:v>1135</c:v>
                </c:pt>
                <c:pt idx="39">
                  <c:v>1153</c:v>
                </c:pt>
                <c:pt idx="40">
                  <c:v>1119</c:v>
                </c:pt>
                <c:pt idx="41">
                  <c:v>1071</c:v>
                </c:pt>
                <c:pt idx="43">
                  <c:v>1098</c:v>
                </c:pt>
                <c:pt idx="44">
                  <c:v>1078</c:v>
                </c:pt>
                <c:pt idx="46">
                  <c:v>1102</c:v>
                </c:pt>
                <c:pt idx="47">
                  <c:v>1079</c:v>
                </c:pt>
                <c:pt idx="48">
                  <c:v>1109</c:v>
                </c:pt>
                <c:pt idx="49">
                  <c:v>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0-4B2D-8816-B3D73F909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873792"/>
        <c:axId val="2011872352"/>
      </c:scatterChart>
      <c:valAx>
        <c:axId val="2011873792"/>
        <c:scaling>
          <c:orientation val="minMax"/>
          <c:max val="45430"/>
          <c:min val="44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1872352"/>
        <c:crosses val="autoZero"/>
        <c:crossBetween val="midCat"/>
      </c:valAx>
      <c:valAx>
        <c:axId val="2011872352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187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144780</xdr:colOff>
      <xdr:row>5</xdr:row>
      <xdr:rowOff>80010</xdr:rowOff>
    </xdr:from>
    <xdr:to>
      <xdr:col>21</xdr:col>
      <xdr:colOff>723900</xdr:colOff>
      <xdr:row>31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3F9D84-BA87-ADBE-457C-23460FAC7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topLeftCell="E1" workbookViewId="0">
      <selection activeCell="H2" sqref="H2"/>
    </sheetView>
  </sheetViews>
  <sheetFormatPr baseColWidth="10" defaultRowHeight="14.4"/>
  <cols>
    <col min="2" max="2" width="14.33203125" bestFit="1" customWidth="1"/>
    <col min="3" max="3" width="26.33203125" customWidth="1"/>
    <col min="4" max="4" width="11.5546875" style="1"/>
  </cols>
  <sheetData>
    <row r="1" spans="1:22">
      <c r="A1" s="2" t="s">
        <v>58</v>
      </c>
      <c r="B1" s="2" t="s">
        <v>59</v>
      </c>
      <c r="C1" s="2" t="s">
        <v>60</v>
      </c>
      <c r="D1" s="3" t="s">
        <v>61</v>
      </c>
      <c r="E1" s="2" t="s">
        <v>62</v>
      </c>
      <c r="F1" s="2" t="s">
        <v>63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4" t="s">
        <v>5</v>
      </c>
      <c r="B2" s="4" t="s">
        <v>52</v>
      </c>
      <c r="C2" s="4" t="s">
        <v>2</v>
      </c>
      <c r="D2" s="5">
        <v>45316</v>
      </c>
      <c r="E2" s="4">
        <v>1105</v>
      </c>
      <c r="F2" s="4">
        <v>1069</v>
      </c>
      <c r="G2" s="4"/>
      <c r="H2" s="4" t="str">
        <f>IF(A2="","","{'company':"""&amp;A2&amp;""", 'licence':"""&amp;B2&amp;""", 'model_name':"""&amp;C2&amp;""", 'date':"""&amp;TEXT(D2,"mm/dd/yyyy")&amp;""", 'elo':"&amp;E2&amp;", 'elo_fr':"&amp;IF(F2,F2,"None")&amp;" },")</f>
        <v>{'company':"OpenAI", 'licence':"Closed", 'model_name':"gpt-3.5-turbo-0125", 'date':"01/25/2024", 'elo':1105, 'elo_fr':1069 },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4" t="s">
        <v>5</v>
      </c>
      <c r="B3" s="4" t="s">
        <v>52</v>
      </c>
      <c r="C3" s="4" t="s">
        <v>1</v>
      </c>
      <c r="D3" s="5">
        <v>45236</v>
      </c>
      <c r="E3" s="4">
        <v>1072</v>
      </c>
      <c r="F3" s="4"/>
      <c r="G3" s="4"/>
      <c r="H3" s="4" t="str">
        <f t="shared" ref="H3:H51" si="0">IF(A3="","","{'company':"""&amp;A3&amp;""", 'licence':"""&amp;B3&amp;""", 'model_name':"""&amp;C3&amp;""", 'date':"""&amp;TEXT(D3,"mm/dd/yyyy")&amp;""", 'elo':"&amp;E3&amp;", 'elo_fr':"&amp;IF(F3,F3,"None")&amp;" },")</f>
        <v>{'company':"OpenAI", 'licence':"Closed", 'model_name':"gpt-3.5-turbo-1106", 'date':"11/06/2023", 'elo':1072, 'elo_fr':None },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4" t="s">
        <v>5</v>
      </c>
      <c r="B4" s="4" t="s">
        <v>52</v>
      </c>
      <c r="C4" s="4" t="s">
        <v>0</v>
      </c>
      <c r="D4" s="5">
        <v>45090</v>
      </c>
      <c r="E4" s="4">
        <v>1119</v>
      </c>
      <c r="F4" s="4">
        <v>1097</v>
      </c>
      <c r="G4" s="4"/>
      <c r="H4" s="4" t="str">
        <f t="shared" si="0"/>
        <v>{'company':"OpenAI", 'licence':"Closed", 'model_name':"gpt-3.5-turbo-0613", 'date':"06/13/2023", 'elo':1119, 'elo_fr':1097 },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4" t="s">
        <v>5</v>
      </c>
      <c r="B5" s="4" t="s">
        <v>52</v>
      </c>
      <c r="C5" s="4" t="s">
        <v>3</v>
      </c>
      <c r="D5" s="5">
        <v>44999</v>
      </c>
      <c r="E5" s="4">
        <v>1107</v>
      </c>
      <c r="F5" s="4"/>
      <c r="G5" s="4"/>
      <c r="H5" s="4" t="str">
        <f t="shared" si="0"/>
        <v>{'company':"OpenAI", 'licence':"Closed", 'model_name':"GPT-3.5-Turbo-0314", 'date':"03/14/2023", 'elo':1107, 'elo_fr':None },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4"/>
      <c r="B6" s="4"/>
      <c r="C6" s="4"/>
      <c r="D6" s="5"/>
      <c r="E6" s="4"/>
      <c r="F6" s="4"/>
      <c r="G6" s="4"/>
      <c r="H6" s="4" t="str">
        <f t="shared" si="0"/>
        <v/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4" t="s">
        <v>5</v>
      </c>
      <c r="B7" s="4" t="s">
        <v>52</v>
      </c>
      <c r="C7" s="4" t="s">
        <v>25</v>
      </c>
      <c r="D7" s="5">
        <v>45391</v>
      </c>
      <c r="E7" s="4">
        <v>1259</v>
      </c>
      <c r="F7" s="4"/>
      <c r="G7" s="4"/>
      <c r="H7" s="4" t="str">
        <f t="shared" si="0"/>
        <v>{'company':"OpenAI", 'licence':"Closed", 'model_name':"GPT-4-Turbo-2024-04-09", 'date':"04/09/2024", 'elo':1259, 'elo_fr':None },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4" t="s">
        <v>5</v>
      </c>
      <c r="B8" s="4" t="s">
        <v>52</v>
      </c>
      <c r="C8" s="5" t="s">
        <v>6</v>
      </c>
      <c r="D8" s="5">
        <v>45316</v>
      </c>
      <c r="E8" s="4">
        <v>1249</v>
      </c>
      <c r="F8" s="4">
        <v>1242</v>
      </c>
      <c r="G8" s="4"/>
      <c r="H8" s="4" t="str">
        <f t="shared" si="0"/>
        <v>{'company':"OpenAI", 'licence':"Closed", 'model_name':"GPT-4-0125-preview", 'date':"01/25/2024", 'elo':1249, 'elo_fr':1242 },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4" t="s">
        <v>5</v>
      </c>
      <c r="B9" s="4" t="s">
        <v>52</v>
      </c>
      <c r="C9" s="5" t="s">
        <v>4</v>
      </c>
      <c r="D9" s="5">
        <v>45236</v>
      </c>
      <c r="E9" s="4">
        <v>1254</v>
      </c>
      <c r="F9" s="4">
        <v>1251</v>
      </c>
      <c r="G9" s="4"/>
      <c r="H9" s="4" t="str">
        <f t="shared" si="0"/>
        <v>{'company':"OpenAI", 'licence':"Closed", 'model_name':"GPT-4-1106-preview", 'date':"11/06/2023", 'elo':1254, 'elo_fr':1251 },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4" t="s">
        <v>5</v>
      </c>
      <c r="B10" s="4" t="s">
        <v>52</v>
      </c>
      <c r="C10" s="5" t="s">
        <v>18</v>
      </c>
      <c r="D10" s="5">
        <v>45090</v>
      </c>
      <c r="E10" s="4">
        <v>1165</v>
      </c>
      <c r="F10" s="4">
        <v>1123</v>
      </c>
      <c r="G10" s="4"/>
      <c r="H10" s="4" t="str">
        <f t="shared" si="0"/>
        <v>{'company':"OpenAI", 'licence':"Closed", 'model_name':"GPT-4-0613", 'date':"06/13/2023", 'elo':1165, 'elo_fr':1123 },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4" t="s">
        <v>5</v>
      </c>
      <c r="B11" s="4" t="s">
        <v>52</v>
      </c>
      <c r="C11" s="5" t="s">
        <v>10</v>
      </c>
      <c r="D11" s="5">
        <v>44999</v>
      </c>
      <c r="E11" s="4">
        <v>1189</v>
      </c>
      <c r="F11" s="4">
        <v>1179</v>
      </c>
      <c r="G11" s="4"/>
      <c r="H11" s="4" t="str">
        <f t="shared" si="0"/>
        <v>{'company':"OpenAI", 'licence':"Closed", 'model_name':"GPT-4-0314", 'date':"03/14/2023", 'elo':1189, 'elo_fr':1179 },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4"/>
      <c r="B12" s="4"/>
      <c r="C12" s="5"/>
      <c r="D12" s="5"/>
      <c r="E12" s="4"/>
      <c r="F12" s="4"/>
      <c r="G12" s="4"/>
      <c r="H12" s="4" t="str">
        <f t="shared" si="0"/>
        <v/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6" t="s">
        <v>22</v>
      </c>
      <c r="B13" s="4" t="s">
        <v>52</v>
      </c>
      <c r="C13" s="5" t="s">
        <v>26</v>
      </c>
      <c r="D13" s="5">
        <v>45337</v>
      </c>
      <c r="E13" s="7">
        <v>1208</v>
      </c>
      <c r="F13" s="4"/>
      <c r="G13" s="4"/>
      <c r="H13" s="4" t="str">
        <f t="shared" si="0"/>
        <v>{'company':"Google", 'licence':"Closed", 'model_name':"Bard (Gemini Pro)", 'date':"02/15/2024", 'elo':1208, 'elo_fr':None },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6" t="s">
        <v>22</v>
      </c>
      <c r="B14" s="4" t="s">
        <v>52</v>
      </c>
      <c r="C14" s="5" t="s">
        <v>35</v>
      </c>
      <c r="D14" s="5">
        <v>45266</v>
      </c>
      <c r="E14" s="7">
        <v>1114</v>
      </c>
      <c r="F14" s="4">
        <v>1103</v>
      </c>
      <c r="G14" s="4"/>
      <c r="H14" s="4" t="str">
        <f t="shared" si="0"/>
        <v>{'company':"Google", 'licence':"Closed", 'model_name':"Gemini Pro", 'date':"12/06/2023", 'elo':1114, 'elo_fr':1103 },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6" t="s">
        <v>22</v>
      </c>
      <c r="B15" s="4" t="s">
        <v>54</v>
      </c>
      <c r="C15" s="5" t="s">
        <v>45</v>
      </c>
      <c r="D15" s="5">
        <v>45334</v>
      </c>
      <c r="E15" s="7">
        <v>1088</v>
      </c>
      <c r="F15" s="4"/>
      <c r="G15" s="4"/>
      <c r="H15" s="4" t="str">
        <f t="shared" si="0"/>
        <v>{'company':"Google", 'licence':"Open source", 'model_name':"Gemma-1.1-7B-it", 'date':"02/12/2024", 'elo':1088, 'elo_fr':None },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4"/>
      <c r="B16" s="4"/>
      <c r="C16" s="5"/>
      <c r="D16" s="5"/>
      <c r="E16" s="4"/>
      <c r="F16" s="4"/>
      <c r="G16" s="4"/>
      <c r="H16" s="4" t="str">
        <f t="shared" si="0"/>
        <v/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4" t="s">
        <v>8</v>
      </c>
      <c r="B17" s="4" t="s">
        <v>52</v>
      </c>
      <c r="C17" s="4" t="s">
        <v>7</v>
      </c>
      <c r="D17" s="5">
        <v>45355</v>
      </c>
      <c r="E17" s="7">
        <v>1252</v>
      </c>
      <c r="F17" s="4">
        <v>1236</v>
      </c>
      <c r="G17" s="4"/>
      <c r="H17" s="4" t="str">
        <f t="shared" si="0"/>
        <v>{'company':"Anthropic", 'licence':"Closed", 'model_name':"Claude 3 Opus", 'date':"03/04/2024", 'elo':1252, 'elo_fr':1236 },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4" t="s">
        <v>8</v>
      </c>
      <c r="B18" s="4" t="s">
        <v>52</v>
      </c>
      <c r="C18" s="4" t="s">
        <v>9</v>
      </c>
      <c r="D18" s="5">
        <v>45355</v>
      </c>
      <c r="E18" s="7">
        <v>1202</v>
      </c>
      <c r="F18" s="4">
        <v>1183</v>
      </c>
      <c r="G18" s="4"/>
      <c r="H18" s="4" t="str">
        <f t="shared" si="0"/>
        <v>{'company':"Anthropic", 'licence':"Closed", 'model_name':"Claude 3 Sonnet", 'date':"03/04/2024", 'elo':1202, 'elo_fr':1183 },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4" t="s">
        <v>8</v>
      </c>
      <c r="B19" s="4" t="s">
        <v>52</v>
      </c>
      <c r="C19" s="4" t="s">
        <v>15</v>
      </c>
      <c r="D19" s="5">
        <v>45355</v>
      </c>
      <c r="E19" s="7">
        <v>1181</v>
      </c>
      <c r="F19" s="4">
        <v>1150</v>
      </c>
      <c r="G19" s="4"/>
      <c r="H19" s="4" t="str">
        <f t="shared" si="0"/>
        <v>{'company':"Anthropic", 'licence':"Closed", 'model_name':"Claude 3 Haiku", 'date':"03/04/2024", 'elo':1181, 'elo_fr':1150 },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4" t="s">
        <v>8</v>
      </c>
      <c r="B20" s="4" t="s">
        <v>52</v>
      </c>
      <c r="C20" s="4" t="s">
        <v>16</v>
      </c>
      <c r="D20" s="5">
        <v>45251</v>
      </c>
      <c r="E20" s="7">
        <v>1119</v>
      </c>
      <c r="F20" s="4">
        <v>1137</v>
      </c>
      <c r="G20" s="4"/>
      <c r="H20" s="4" t="str">
        <f t="shared" si="0"/>
        <v>{'company':"Anthropic", 'licence':"Closed", 'model_name':"Claude-2.1", 'date':"11/21/2023", 'elo':1119, 'elo_fr':1137 },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4" t="s">
        <v>8</v>
      </c>
      <c r="B21" s="4" t="s">
        <v>52</v>
      </c>
      <c r="C21" s="4" t="s">
        <v>33</v>
      </c>
      <c r="D21" s="5">
        <v>45118</v>
      </c>
      <c r="E21" s="7">
        <v>1131</v>
      </c>
      <c r="F21" s="4"/>
      <c r="G21" s="4"/>
      <c r="H21" s="4" t="str">
        <f t="shared" si="0"/>
        <v>{'company':"Anthropic", 'licence':"Closed", 'model_name':"Claude-2.0", 'date':"07/11/2023", 'elo':1131, 'elo_fr':None },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4" t="s">
        <v>8</v>
      </c>
      <c r="B22" s="4" t="s">
        <v>52</v>
      </c>
      <c r="C22" s="4" t="s">
        <v>36</v>
      </c>
      <c r="D22" s="5">
        <v>44999</v>
      </c>
      <c r="E22" s="7">
        <v>1109</v>
      </c>
      <c r="F22" s="4"/>
      <c r="G22" s="4"/>
      <c r="H22" s="4" t="str">
        <f t="shared" si="0"/>
        <v>{'company':"Anthropic", 'licence':"Closed", 'model_name':"Claude-Instant-1", 'date':"03/14/2023", 'elo':1109, 'elo_fr':None },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4" t="s">
        <v>8</v>
      </c>
      <c r="B23" s="4" t="s">
        <v>52</v>
      </c>
      <c r="C23" s="4" t="s">
        <v>28</v>
      </c>
      <c r="D23" s="5">
        <v>44999</v>
      </c>
      <c r="E23" s="7">
        <v>1150</v>
      </c>
      <c r="F23" s="4"/>
      <c r="G23" s="4"/>
      <c r="H23" s="4" t="str">
        <f t="shared" si="0"/>
        <v>{'company':"Anthropic", 'licence':"Closed", 'model_name':"Claude-1", 'date':"03/14/2023", 'elo':1150, 'elo_fr':None },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4"/>
      <c r="B24" s="4"/>
      <c r="C24" s="4"/>
      <c r="D24" s="5"/>
      <c r="E24" s="4"/>
      <c r="F24" s="4"/>
      <c r="G24" s="4"/>
      <c r="H24" s="4" t="str">
        <f t="shared" si="0"/>
        <v/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4" t="s">
        <v>14</v>
      </c>
      <c r="B25" s="4" t="s">
        <v>53</v>
      </c>
      <c r="C25" s="4" t="s">
        <v>13</v>
      </c>
      <c r="D25" s="5">
        <v>45386</v>
      </c>
      <c r="E25" s="4">
        <v>1192</v>
      </c>
      <c r="F25" s="4">
        <v>1161</v>
      </c>
      <c r="G25" s="4"/>
      <c r="H25" s="4" t="str">
        <f t="shared" si="0"/>
        <v>{'company':"Cohere", 'licence':"Non commercial", 'model_name':"Command R+", 'date':"04/04/2024", 'elo':1192, 'elo_fr':1161 },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4" t="s">
        <v>14</v>
      </c>
      <c r="B26" s="4" t="s">
        <v>53</v>
      </c>
      <c r="C26" s="4" t="s">
        <v>29</v>
      </c>
      <c r="D26" s="5">
        <v>45362</v>
      </c>
      <c r="E26" s="4">
        <v>1148</v>
      </c>
      <c r="F26" s="4"/>
      <c r="G26" s="4"/>
      <c r="H26" s="4" t="str">
        <f t="shared" si="0"/>
        <v>{'company':"Cohere", 'licence':"Non commercial", 'model_name':"Command R", 'date':"03/11/2024", 'elo':1148, 'elo_fr':None },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4"/>
      <c r="B27" s="4"/>
      <c r="C27" s="4"/>
      <c r="D27" s="5"/>
      <c r="E27" s="4"/>
      <c r="F27" s="4"/>
      <c r="G27" s="4"/>
      <c r="H27" s="4" t="str">
        <f t="shared" si="0"/>
        <v/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4" t="s">
        <v>24</v>
      </c>
      <c r="B28" s="4" t="s">
        <v>57</v>
      </c>
      <c r="C28" s="4" t="s">
        <v>27</v>
      </c>
      <c r="D28" s="5">
        <v>45399</v>
      </c>
      <c r="E28" s="4">
        <v>1210</v>
      </c>
      <c r="F28" s="4"/>
      <c r="G28" s="4"/>
      <c r="H28" s="4" t="str">
        <f t="shared" si="0"/>
        <v>{'company':"Meta", 'licence':"Open weights", 'model_name':"Llama-3-70b-Instruct", 'date':"04/17/2024", 'elo':1210, 'elo_fr':None },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4" t="s">
        <v>24</v>
      </c>
      <c r="B29" s="4" t="s">
        <v>57</v>
      </c>
      <c r="C29" s="4" t="s">
        <v>31</v>
      </c>
      <c r="D29" s="5">
        <v>45399</v>
      </c>
      <c r="E29" s="4">
        <v>1137</v>
      </c>
      <c r="F29" s="4"/>
      <c r="G29" s="4"/>
      <c r="H29" s="4" t="str">
        <f t="shared" si="0"/>
        <v>{'company':"Meta", 'licence':"Open weights", 'model_name':"Llama-3-8b-Instruct", 'date':"04/17/2024", 'elo':1137, 'elo_fr':None },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4" t="s">
        <v>24</v>
      </c>
      <c r="B30" s="4" t="s">
        <v>57</v>
      </c>
      <c r="C30" s="4" t="s">
        <v>23</v>
      </c>
      <c r="D30" s="5">
        <v>45125</v>
      </c>
      <c r="E30" s="4">
        <v>1088</v>
      </c>
      <c r="F30" s="4">
        <v>1034</v>
      </c>
      <c r="G30" s="4"/>
      <c r="H30" s="4" t="str">
        <f t="shared" si="0"/>
        <v>{'company':"Meta", 'licence':"Open weights", 'model_name':"Llama-2-70b-chat", 'date':"07/18/2023", 'elo':1088, 'elo_fr':1034 },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4" t="s">
        <v>24</v>
      </c>
      <c r="B31" s="4" t="s">
        <v>57</v>
      </c>
      <c r="C31" s="4" t="s">
        <v>55</v>
      </c>
      <c r="D31" s="5">
        <v>45125</v>
      </c>
      <c r="E31" s="4">
        <v>1053</v>
      </c>
      <c r="F31" s="4"/>
      <c r="G31" s="4"/>
      <c r="H31" s="4" t="str">
        <f t="shared" si="0"/>
        <v>{'company':"Meta", 'licence':"Open weights", 'model_name':"Llama-2-13b-chat", 'date':"07/18/2023", 'elo':1053, 'elo_fr':None },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4" t="s">
        <v>24</v>
      </c>
      <c r="B32" s="4" t="s">
        <v>57</v>
      </c>
      <c r="C32" s="4" t="s">
        <v>56</v>
      </c>
      <c r="D32" s="5">
        <v>45125</v>
      </c>
      <c r="E32" s="4">
        <v>1037</v>
      </c>
      <c r="F32" s="4"/>
      <c r="G32" s="4"/>
      <c r="H32" s="4" t="str">
        <f t="shared" si="0"/>
        <v>{'company':"Meta", 'licence':"Open weights", 'model_name':"Llama-2-7b-chat", 'date':"07/18/2023", 'elo':1037, 'elo_fr':None },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4"/>
      <c r="B33" s="4"/>
      <c r="C33" s="4"/>
      <c r="D33" s="5"/>
      <c r="E33" s="4"/>
      <c r="F33" s="4"/>
      <c r="G33" s="4"/>
      <c r="H33" s="4" t="str">
        <f t="shared" si="0"/>
        <v/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4" t="s">
        <v>12</v>
      </c>
      <c r="B34" s="4" t="s">
        <v>54</v>
      </c>
      <c r="C34" s="6" t="s">
        <v>30</v>
      </c>
      <c r="D34" s="5">
        <v>45393</v>
      </c>
      <c r="E34" s="7">
        <v>1145</v>
      </c>
      <c r="F34" s="4"/>
      <c r="G34" s="4"/>
      <c r="H34" s="4" t="str">
        <f t="shared" si="0"/>
        <v>{'company':"Mistral", 'licence':"Open source", 'model_name':"Mixtral-8x22b-Instruct-v0.1", 'date':"04/11/2024", 'elo':1145, 'elo_fr':None },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>
      <c r="A35" s="4" t="s">
        <v>12</v>
      </c>
      <c r="B35" s="4" t="s">
        <v>52</v>
      </c>
      <c r="C35" s="4" t="s">
        <v>11</v>
      </c>
      <c r="D35" s="5">
        <v>45348</v>
      </c>
      <c r="E35" s="4">
        <v>1158</v>
      </c>
      <c r="F35" s="4">
        <v>1161</v>
      </c>
      <c r="G35" s="4"/>
      <c r="H35" s="4" t="str">
        <f t="shared" si="0"/>
        <v>{'company':"Mistral", 'licence':"Closed", 'model_name':"Mistral-Large-2402", 'date':"02/26/2024", 'elo':1158, 'elo_fr':1161 },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4" t="s">
        <v>12</v>
      </c>
      <c r="B36" s="4" t="s">
        <v>52</v>
      </c>
      <c r="C36" s="4" t="s">
        <v>17</v>
      </c>
      <c r="D36" s="5">
        <v>45271</v>
      </c>
      <c r="E36" s="4">
        <v>1147</v>
      </c>
      <c r="F36" s="4">
        <v>1131</v>
      </c>
      <c r="G36" s="4"/>
      <c r="H36" s="4" t="str">
        <f t="shared" si="0"/>
        <v>{'company':"Mistral", 'licence':"Closed", 'model_name':"Mistral Medium", 'date':"12/11/2023", 'elo':1147, 'elo_fr':1131 },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4" t="s">
        <v>12</v>
      </c>
      <c r="B37" s="4" t="s">
        <v>54</v>
      </c>
      <c r="C37" s="6" t="s">
        <v>19</v>
      </c>
      <c r="D37" s="5">
        <v>45271</v>
      </c>
      <c r="E37" s="7">
        <v>1114</v>
      </c>
      <c r="F37" s="4">
        <v>1114</v>
      </c>
      <c r="G37" s="4"/>
      <c r="H37" s="4" t="str">
        <f t="shared" si="0"/>
        <v>{'company':"Mistral", 'licence':"Open source", 'model_name':"Mixtral-8x7b-Instruct-v0.1", 'date':"12/11/2023", 'elo':1114, 'elo_fr':1114 },</v>
      </c>
      <c r="I37" s="6"/>
      <c r="J37" s="4"/>
      <c r="K37" s="6"/>
      <c r="L37" s="6"/>
      <c r="M37" s="8"/>
      <c r="N37" s="6"/>
      <c r="O37" s="6"/>
      <c r="P37" s="6"/>
      <c r="Q37" s="4"/>
      <c r="R37" s="4"/>
      <c r="S37" s="4"/>
      <c r="T37" s="4"/>
      <c r="U37" s="4"/>
      <c r="V37" s="4"/>
    </row>
    <row r="38" spans="1:22">
      <c r="A38" s="4" t="s">
        <v>12</v>
      </c>
      <c r="B38" s="4" t="s">
        <v>54</v>
      </c>
      <c r="C38" s="4" t="s">
        <v>50</v>
      </c>
      <c r="D38" s="5">
        <v>45196</v>
      </c>
      <c r="E38" s="4">
        <v>1073</v>
      </c>
      <c r="F38" s="4"/>
      <c r="G38" s="4"/>
      <c r="H38" s="4" t="str">
        <f t="shared" si="0"/>
        <v>{'company':"Mistral", 'licence':"Open source", 'model_name':"Mistral-7B-Instruct-v0.2", 'date':"09/27/2023", 'elo':1073, 'elo_fr':None },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>
      <c r="A39" s="4"/>
      <c r="B39" s="4"/>
      <c r="C39" s="6"/>
      <c r="D39" s="5"/>
      <c r="E39" s="4"/>
      <c r="F39" s="4"/>
      <c r="G39" s="4"/>
      <c r="H39" s="4" t="str">
        <f t="shared" si="0"/>
        <v/>
      </c>
      <c r="I39" s="6"/>
      <c r="J39" s="4"/>
      <c r="K39" s="6"/>
      <c r="L39" s="6"/>
      <c r="M39" s="8"/>
      <c r="N39" s="6"/>
      <c r="O39" s="6"/>
      <c r="P39" s="6"/>
      <c r="Q39" s="4"/>
      <c r="R39" s="4"/>
      <c r="S39" s="4"/>
      <c r="T39" s="4"/>
      <c r="U39" s="4"/>
      <c r="V39" s="4"/>
    </row>
    <row r="40" spans="1:22">
      <c r="A40" s="4" t="s">
        <v>21</v>
      </c>
      <c r="B40" s="4" t="s">
        <v>57</v>
      </c>
      <c r="C40" s="6" t="s">
        <v>32</v>
      </c>
      <c r="D40" s="5">
        <v>45383</v>
      </c>
      <c r="E40" s="7">
        <v>1135</v>
      </c>
      <c r="F40" s="6"/>
      <c r="G40" s="4"/>
      <c r="H40" s="4" t="str">
        <f t="shared" si="0"/>
        <v>{'company':"Alibaba", 'licence':"Open weights", 'model_name':"Qwen1.5-32B-Chat", 'date':"04/01/2024", 'elo':1135, 'elo_fr':None },</v>
      </c>
      <c r="I40" s="4"/>
      <c r="J40" s="4"/>
      <c r="K40" s="6"/>
      <c r="L40" s="6"/>
      <c r="M40" s="8"/>
      <c r="N40" s="6"/>
      <c r="O40" s="6"/>
      <c r="P40" s="6"/>
      <c r="Q40" s="4"/>
      <c r="R40" s="4"/>
      <c r="S40" s="4"/>
      <c r="T40" s="4"/>
      <c r="U40" s="4"/>
      <c r="V40" s="4"/>
    </row>
    <row r="41" spans="1:22">
      <c r="A41" s="4" t="s">
        <v>21</v>
      </c>
      <c r="B41" s="4" t="s">
        <v>57</v>
      </c>
      <c r="C41" s="6" t="s">
        <v>20</v>
      </c>
      <c r="D41" s="5">
        <v>45321</v>
      </c>
      <c r="E41" s="7">
        <v>1153</v>
      </c>
      <c r="F41" s="7">
        <v>1110</v>
      </c>
      <c r="G41" s="4"/>
      <c r="H41" s="4" t="str">
        <f t="shared" si="0"/>
        <v>{'company':"Alibaba", 'licence':"Open weights", 'model_name':"Qwen1.5-72B-Chat", 'date':"01/30/2024", 'elo':1153, 'elo_fr':1110 },</v>
      </c>
      <c r="I41" s="4"/>
      <c r="J41" s="4"/>
      <c r="K41" s="9"/>
      <c r="L41" s="9"/>
      <c r="M41" s="8"/>
      <c r="N41" s="6"/>
      <c r="O41" s="6"/>
      <c r="P41" s="6"/>
      <c r="Q41" s="4"/>
      <c r="R41" s="4"/>
      <c r="S41" s="4"/>
      <c r="T41" s="4"/>
      <c r="U41" s="4"/>
      <c r="V41" s="4"/>
    </row>
    <row r="42" spans="1:22">
      <c r="A42" s="4" t="s">
        <v>21</v>
      </c>
      <c r="B42" s="4" t="s">
        <v>57</v>
      </c>
      <c r="C42" s="6" t="s">
        <v>34</v>
      </c>
      <c r="D42" s="5">
        <v>45321</v>
      </c>
      <c r="E42" s="7">
        <v>1119</v>
      </c>
      <c r="F42" s="4"/>
      <c r="G42" s="4"/>
      <c r="H42" s="4" t="str">
        <f t="shared" si="0"/>
        <v>{'company':"Alibaba", 'licence':"Open weights", 'model_name':"Qwen1.5-14B-Chat", 'date':"01/30/2024", 'elo':1119, 'elo_fr':None },</v>
      </c>
      <c r="I42" s="6"/>
      <c r="J42" s="4"/>
      <c r="K42" s="6"/>
      <c r="L42" s="6"/>
      <c r="M42" s="8"/>
      <c r="N42" s="6"/>
      <c r="O42" s="6"/>
      <c r="P42" s="6"/>
      <c r="Q42" s="4"/>
      <c r="R42" s="4"/>
      <c r="S42" s="4"/>
      <c r="T42" s="4"/>
      <c r="U42" s="4"/>
      <c r="V42" s="4"/>
    </row>
    <row r="43" spans="1:22">
      <c r="A43" s="4" t="s">
        <v>21</v>
      </c>
      <c r="B43" s="4" t="s">
        <v>57</v>
      </c>
      <c r="C43" s="6" t="s">
        <v>51</v>
      </c>
      <c r="D43" s="5">
        <v>45193</v>
      </c>
      <c r="E43" s="7">
        <v>1071</v>
      </c>
      <c r="F43" s="6"/>
      <c r="G43" s="4"/>
      <c r="H43" s="4" t="str">
        <f t="shared" si="0"/>
        <v>{'company':"Alibaba", 'licence':"Open weights", 'model_name':"Qwen1.5-7B-Chat", 'date':"09/24/2023", 'elo':1071, 'elo_fr':None },</v>
      </c>
      <c r="I43" s="4"/>
      <c r="J43" s="4"/>
      <c r="K43" s="9"/>
      <c r="L43" s="9"/>
      <c r="M43" s="8"/>
      <c r="N43" s="6"/>
      <c r="O43" s="6"/>
      <c r="P43" s="6"/>
      <c r="Q43" s="4"/>
      <c r="R43" s="4"/>
      <c r="S43" s="4"/>
      <c r="T43" s="4"/>
      <c r="U43" s="4"/>
      <c r="V43" s="4"/>
    </row>
    <row r="44" spans="1:22">
      <c r="A44" s="4"/>
      <c r="B44" s="4"/>
      <c r="C44" s="6"/>
      <c r="D44" s="5"/>
      <c r="E44" s="6"/>
      <c r="F44" s="6"/>
      <c r="G44" s="4"/>
      <c r="H44" s="4" t="str">
        <f t="shared" si="0"/>
        <v/>
      </c>
      <c r="I44" s="4"/>
      <c r="J44" s="4"/>
      <c r="K44" s="9"/>
      <c r="L44" s="9"/>
      <c r="M44" s="8"/>
      <c r="N44" s="6"/>
      <c r="O44" s="6"/>
      <c r="P44" s="6"/>
      <c r="Q44" s="4"/>
      <c r="R44" s="4"/>
      <c r="S44" s="4"/>
      <c r="T44" s="4"/>
      <c r="U44" s="4"/>
      <c r="V44" s="4"/>
    </row>
    <row r="45" spans="1:22">
      <c r="A45" s="4" t="s">
        <v>44</v>
      </c>
      <c r="B45" s="4" t="s">
        <v>54</v>
      </c>
      <c r="C45" s="6" t="s">
        <v>43</v>
      </c>
      <c r="D45" s="5">
        <v>45298</v>
      </c>
      <c r="E45" s="7">
        <v>1098</v>
      </c>
      <c r="F45" s="6"/>
      <c r="G45" s="4"/>
      <c r="H45" s="4" t="str">
        <f t="shared" si="0"/>
        <v>{'company':"OpenChat", 'licence':"Open source", 'model_name':"OpenChat-3.5-0106", 'date':"01/07/2024", 'elo':1098, 'elo_fr':None },</v>
      </c>
      <c r="I45" s="4"/>
      <c r="J45" s="4"/>
      <c r="K45" s="9"/>
      <c r="L45" s="9"/>
      <c r="M45" s="8"/>
      <c r="N45" s="6"/>
      <c r="O45" s="6"/>
      <c r="P45" s="6"/>
      <c r="Q45" s="4"/>
      <c r="R45" s="4"/>
      <c r="S45" s="4"/>
      <c r="T45" s="4"/>
      <c r="U45" s="4"/>
      <c r="V45" s="4"/>
    </row>
    <row r="46" spans="1:22">
      <c r="A46" s="4" t="s">
        <v>44</v>
      </c>
      <c r="B46" s="4" t="s">
        <v>54</v>
      </c>
      <c r="C46" s="6" t="s">
        <v>49</v>
      </c>
      <c r="D46" s="5">
        <v>45229</v>
      </c>
      <c r="E46" s="7">
        <v>1078</v>
      </c>
      <c r="F46" s="6"/>
      <c r="G46" s="4"/>
      <c r="H46" s="4" t="str">
        <f t="shared" si="0"/>
        <v>{'company':"OpenChat", 'licence':"Open source", 'model_name':"OpenChat-3.5", 'date':"10/30/2023", 'elo':1078, 'elo_fr':None },</v>
      </c>
      <c r="I46" s="4"/>
      <c r="J46" s="4"/>
      <c r="K46" s="9"/>
      <c r="L46" s="9"/>
      <c r="M46" s="8"/>
      <c r="N46" s="6"/>
      <c r="O46" s="6"/>
      <c r="P46" s="6"/>
      <c r="Q46" s="4"/>
      <c r="R46" s="4"/>
      <c r="S46" s="4"/>
      <c r="T46" s="4"/>
      <c r="U46" s="4"/>
      <c r="V46" s="4"/>
    </row>
    <row r="47" spans="1:22">
      <c r="A47" s="4"/>
      <c r="B47" s="4"/>
      <c r="C47" s="6"/>
      <c r="D47" s="5"/>
      <c r="E47" s="6"/>
      <c r="F47" s="6"/>
      <c r="G47" s="4"/>
      <c r="H47" s="4" t="str">
        <f t="shared" si="0"/>
        <v/>
      </c>
      <c r="I47" s="4"/>
      <c r="J47" s="4"/>
      <c r="K47" s="9"/>
      <c r="L47" s="9"/>
      <c r="M47" s="8"/>
      <c r="N47" s="6"/>
      <c r="O47" s="6"/>
      <c r="P47" s="6"/>
      <c r="Q47" s="4"/>
      <c r="R47" s="4"/>
      <c r="S47" s="4"/>
      <c r="T47" s="4"/>
      <c r="U47" s="4"/>
      <c r="V47" s="4"/>
    </row>
    <row r="48" spans="1:22">
      <c r="A48" s="4" t="s">
        <v>42</v>
      </c>
      <c r="B48" s="4" t="s">
        <v>57</v>
      </c>
      <c r="C48" s="6" t="s">
        <v>41</v>
      </c>
      <c r="D48" s="5">
        <v>45378</v>
      </c>
      <c r="E48" s="7">
        <v>1102</v>
      </c>
      <c r="F48" s="6"/>
      <c r="G48" s="6"/>
      <c r="H48" s="4" t="str">
        <f t="shared" si="0"/>
        <v>{'company':"Databricks", 'licence':"Open weights", 'model_name':"DBRX-Instruct-Preview", 'date':"03/27/2024", 'elo':1102, 'elo_fr':None },</v>
      </c>
      <c r="I48" s="6"/>
      <c r="J48" s="4"/>
      <c r="K48" s="9"/>
      <c r="L48" s="9"/>
      <c r="M48" s="8"/>
      <c r="N48" s="6"/>
      <c r="O48" s="6"/>
      <c r="P48" s="6"/>
      <c r="Q48" s="4"/>
      <c r="R48" s="4"/>
      <c r="S48" s="4"/>
      <c r="T48" s="4"/>
      <c r="U48" s="4"/>
      <c r="V48" s="4"/>
    </row>
    <row r="49" spans="1:22">
      <c r="A49" s="4" t="s">
        <v>48</v>
      </c>
      <c r="B49" s="4" t="s">
        <v>54</v>
      </c>
      <c r="C49" s="6" t="s">
        <v>47</v>
      </c>
      <c r="D49" s="5">
        <v>45259</v>
      </c>
      <c r="E49" s="7">
        <v>1079</v>
      </c>
      <c r="F49" s="6"/>
      <c r="G49" s="6"/>
      <c r="H49" s="4" t="str">
        <f t="shared" si="0"/>
        <v>{'company':"DeepSeek AI", 'licence':"Open source", 'model_name':"DeepSeek-LLM-67B-Chat", 'date':"11/29/2023", 'elo':1079, 'elo_fr':None },</v>
      </c>
      <c r="I49" s="6"/>
      <c r="J49" s="4"/>
      <c r="K49" s="9"/>
      <c r="L49" s="9"/>
      <c r="M49" s="8"/>
      <c r="N49" s="6"/>
      <c r="O49" s="6"/>
      <c r="P49" s="6"/>
      <c r="Q49" s="4"/>
      <c r="R49" s="4"/>
      <c r="S49" s="4"/>
      <c r="T49" s="4"/>
      <c r="U49" s="4"/>
      <c r="V49" s="4"/>
    </row>
    <row r="50" spans="1:22">
      <c r="A50" s="6" t="s">
        <v>38</v>
      </c>
      <c r="B50" s="4" t="s">
        <v>53</v>
      </c>
      <c r="C50" s="6" t="s">
        <v>37</v>
      </c>
      <c r="D50" s="5">
        <v>45252</v>
      </c>
      <c r="E50" s="7">
        <v>1109</v>
      </c>
      <c r="F50" s="4"/>
      <c r="G50" s="4"/>
      <c r="H50" s="4" t="str">
        <f t="shared" si="0"/>
        <v>{'company':"01 AI", 'licence':"Non commercial", 'model_name':"Yi-34B-Chat", 'date':"11/22/2023", 'elo':1109, 'elo_fr':None },</v>
      </c>
      <c r="I50" s="4"/>
      <c r="J50" s="4"/>
      <c r="K50" s="9"/>
      <c r="L50" s="4"/>
      <c r="M50" s="8"/>
      <c r="N50" s="6"/>
      <c r="O50" s="6"/>
      <c r="P50" s="6"/>
      <c r="Q50" s="4"/>
      <c r="R50" s="4"/>
      <c r="S50" s="4"/>
      <c r="T50" s="4"/>
      <c r="U50" s="4"/>
      <c r="V50" s="4"/>
    </row>
    <row r="51" spans="1:22">
      <c r="A51" s="6" t="s">
        <v>40</v>
      </c>
      <c r="B51" s="4" t="s">
        <v>54</v>
      </c>
      <c r="C51" s="6" t="s">
        <v>39</v>
      </c>
      <c r="D51" s="5">
        <v>45242</v>
      </c>
      <c r="E51" s="7">
        <v>1103</v>
      </c>
      <c r="F51" s="6"/>
      <c r="G51" s="6"/>
      <c r="H51" s="4" t="str">
        <f t="shared" si="0"/>
        <v>{'company':"AllenAI/UW", 'licence':"Open source", 'model_name':"Tulu-2-DPO-70B", 'date':"11/12/2023", 'elo':1103, 'elo_fr':None },</v>
      </c>
      <c r="I51" s="6"/>
      <c r="J51" s="4"/>
      <c r="K51" s="9"/>
      <c r="L51" s="9"/>
      <c r="M51" s="8"/>
      <c r="N51" s="6"/>
      <c r="O51" s="6"/>
      <c r="P51" s="6"/>
      <c r="Q51" s="4"/>
      <c r="R51" s="4"/>
      <c r="S51" s="4"/>
      <c r="T51" s="4"/>
      <c r="U51" s="4"/>
      <c r="V51" s="4"/>
    </row>
    <row r="52" spans="1:22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>
      <c r="A61" s="4"/>
      <c r="B61" s="4"/>
      <c r="C61" s="6"/>
      <c r="D61" s="8"/>
      <c r="E61" s="6"/>
      <c r="F61" s="6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</sheetData>
  <autoFilter ref="B1:B64"/>
  <sortState xmlns:xlrd2="http://schemas.microsoft.com/office/spreadsheetml/2017/richdata2" ref="D37:I61">
    <sortCondition ref="D37:D61"/>
  </sortState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Prud'hon</dc:creator>
  <cp:lastModifiedBy>Laurent Prud'hon</cp:lastModifiedBy>
  <dcterms:created xsi:type="dcterms:W3CDTF">2024-04-20T06:32:03Z</dcterms:created>
  <dcterms:modified xsi:type="dcterms:W3CDTF">2024-04-22T19:44:35Z</dcterms:modified>
</cp:coreProperties>
</file>